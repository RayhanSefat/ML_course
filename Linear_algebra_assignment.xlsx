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5103C3-5CEA-4087-914C-2E0E8C768D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6" i="1" l="1"/>
  <c r="B11" i="1"/>
  <c r="B10" i="1"/>
  <c r="E9" i="1" a="1"/>
  <c r="E10" i="1" s="1"/>
  <c r="F10" i="1" l="1"/>
  <c r="F9" i="1"/>
  <c r="G10" i="1"/>
  <c r="K9" i="1"/>
  <c r="G9" i="1"/>
  <c r="H10" i="1"/>
  <c r="H9" i="1"/>
  <c r="I10" i="1"/>
  <c r="I9" i="1"/>
  <c r="J10" i="1"/>
  <c r="J9" i="1"/>
  <c r="K10" i="1"/>
  <c r="E9" i="1"/>
  <c r="E12" i="1" l="1" a="1"/>
  <c r="E18" i="1" a="1"/>
  <c r="E19" i="1" l="1"/>
  <c r="E18" i="1"/>
  <c r="F13" i="1"/>
  <c r="E13" i="1"/>
  <c r="F12" i="1"/>
  <c r="E12" i="1"/>
  <c r="E15" i="1" s="1" a="1"/>
  <c r="F15" i="1" l="1"/>
  <c r="E15" i="1"/>
  <c r="F21" i="1" s="1" a="1"/>
  <c r="F16" i="1"/>
  <c r="E16" i="1"/>
  <c r="F22" i="1" l="1"/>
  <c r="F21" i="1"/>
</calcChain>
</file>

<file path=xl/sharedStrings.xml><?xml version="1.0" encoding="utf-8"?>
<sst xmlns="http://schemas.openxmlformats.org/spreadsheetml/2006/main" count="23" uniqueCount="23">
  <si>
    <t xml:space="preserve"> </t>
  </si>
  <si>
    <t>States Revenue (y)</t>
  </si>
  <si>
    <t>Advertisement Expenditure (x)</t>
  </si>
  <si>
    <t>Matrix A =</t>
  </si>
  <si>
    <r>
      <rPr>
        <sz val="10"/>
        <color theme="1"/>
        <rFont val="Arial"/>
      </rPr>
      <t xml:space="preserve">Matrix </t>
    </r>
    <r>
      <rPr>
        <b/>
        <sz val="10"/>
        <color theme="1"/>
        <rFont val="Arial"/>
      </rPr>
      <t xml:space="preserve">b </t>
    </r>
    <r>
      <rPr>
        <sz val="10"/>
        <color theme="1"/>
        <rFont val="Arial"/>
      </rPr>
      <t>=</t>
    </r>
  </si>
  <si>
    <t>m</t>
  </si>
  <si>
    <r>
      <rPr>
        <sz val="10"/>
        <color theme="1"/>
        <rFont val="Arial"/>
      </rPr>
      <t xml:space="preserve">Matrix </t>
    </r>
    <r>
      <rPr>
        <b/>
        <sz val="10"/>
        <color theme="1"/>
        <rFont val="Arial"/>
      </rPr>
      <t xml:space="preserve">y </t>
    </r>
    <r>
      <rPr>
        <sz val="10"/>
        <color theme="1"/>
        <rFont val="Arial"/>
      </rPr>
      <t>=</t>
    </r>
  </si>
  <si>
    <t>c</t>
  </si>
  <si>
    <t>Equation, A*b=y</t>
  </si>
  <si>
    <t>Transpose matrix Aᵀ=</t>
  </si>
  <si>
    <t>Slope, m =</t>
  </si>
  <si>
    <t>Intercept ,b =</t>
  </si>
  <si>
    <t>Aᵀ*A =</t>
  </si>
  <si>
    <t>The equation,</t>
  </si>
  <si>
    <t>ȳ = mx̄ + b</t>
  </si>
  <si>
    <t>ȳ = 1.5x̄ + 10.5</t>
  </si>
  <si>
    <t>(Aᵀ*A)⁻¹ =</t>
  </si>
  <si>
    <t>For $9 million advertisement expenditure the states revenue would be,</t>
  </si>
  <si>
    <r>
      <rPr>
        <sz val="10"/>
        <color theme="1"/>
        <rFont val="Arial"/>
      </rPr>
      <t>Aᵀ*</t>
    </r>
    <r>
      <rPr>
        <b/>
        <sz val="10"/>
        <color theme="1"/>
        <rFont val="Arial"/>
      </rPr>
      <t>y</t>
    </r>
    <r>
      <rPr>
        <sz val="10"/>
        <color theme="1"/>
        <rFont val="Arial"/>
      </rPr>
      <t xml:space="preserve"> =</t>
    </r>
  </si>
  <si>
    <t>Matrix b =</t>
  </si>
  <si>
    <t>(Aᵀ*A)⁻¹ * Aᵀ*y =</t>
  </si>
  <si>
    <t>Slope, m=</t>
  </si>
  <si>
    <t>Intercept, c=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</si>
</sst>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3" xfId="0" applyFont="1" applyBorder="1"/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topLeftCell="A13" workbookViewId="0">
      <selection activeCell="F31" sqref="F31"/>
    </sheetView>
  </sheetViews>
  <sheetFormatPr defaultColWidth="12.5703125" defaultRowHeight="15" customHeight="1" x14ac:dyDescent="0.2"/>
  <cols>
    <col min="1" max="1" width="16.140625" customWidth="1"/>
    <col min="2" max="2" width="16.28515625" customWidth="1"/>
    <col min="3" max="3" width="12.5703125" customWidth="1"/>
    <col min="4" max="4" width="17.140625" customWidth="1"/>
    <col min="5" max="5" width="13.42578125" customWidth="1"/>
    <col min="6" max="6" width="12.5703125" customWidth="1"/>
  </cols>
  <sheetData>
    <row r="1" spans="1:26" ht="15.75" customHeight="1" x14ac:dyDescent="0.2">
      <c r="A1" s="1"/>
      <c r="B1" s="1"/>
      <c r="C1" s="7"/>
      <c r="D1" s="3"/>
      <c r="E1" s="1"/>
      <c r="F1" s="1"/>
      <c r="G1" s="14" t="s">
        <v>0</v>
      </c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4" t="s">
        <v>1</v>
      </c>
      <c r="B2" s="5" t="s">
        <v>2</v>
      </c>
      <c r="C2" s="8"/>
      <c r="D2" s="9" t="s">
        <v>3</v>
      </c>
      <c r="E2" s="4">
        <v>4</v>
      </c>
      <c r="F2" s="4">
        <v>1</v>
      </c>
      <c r="G2" s="8"/>
      <c r="H2" s="9" t="s">
        <v>4</v>
      </c>
      <c r="I2" s="4" t="s">
        <v>5</v>
      </c>
      <c r="J2" s="12" t="s">
        <v>6</v>
      </c>
      <c r="K2" s="4">
        <v>16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4">
        <v>16</v>
      </c>
      <c r="B3" s="4">
        <v>4</v>
      </c>
      <c r="C3" s="8"/>
      <c r="D3" s="11"/>
      <c r="E3" s="4">
        <v>3</v>
      </c>
      <c r="F3" s="4">
        <v>1</v>
      </c>
      <c r="G3" s="8"/>
      <c r="H3" s="10"/>
      <c r="I3" s="4" t="s">
        <v>7</v>
      </c>
      <c r="J3" s="11"/>
      <c r="K3" s="4">
        <v>12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4">
        <v>12</v>
      </c>
      <c r="B4" s="4">
        <v>3</v>
      </c>
      <c r="C4" s="8"/>
      <c r="D4" s="11"/>
      <c r="E4" s="4">
        <v>7</v>
      </c>
      <c r="F4" s="4">
        <v>1</v>
      </c>
      <c r="G4" s="8"/>
      <c r="H4" s="7"/>
      <c r="I4" s="7"/>
      <c r="J4" s="11"/>
      <c r="K4" s="4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4">
        <v>20</v>
      </c>
      <c r="B5" s="4">
        <v>7</v>
      </c>
      <c r="C5" s="8"/>
      <c r="D5" s="11"/>
      <c r="E5" s="4">
        <v>2</v>
      </c>
      <c r="F5" s="4">
        <v>1</v>
      </c>
      <c r="G5" s="8"/>
      <c r="H5" s="8"/>
      <c r="I5" s="8"/>
      <c r="J5" s="11"/>
      <c r="K5" s="4">
        <v>17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4">
        <v>17</v>
      </c>
      <c r="B6" s="4">
        <v>2</v>
      </c>
      <c r="C6" s="8"/>
      <c r="D6" s="11"/>
      <c r="E6" s="4">
        <v>6</v>
      </c>
      <c r="F6" s="4">
        <v>1</v>
      </c>
      <c r="G6" s="8"/>
      <c r="H6" s="8"/>
      <c r="I6" s="8"/>
      <c r="J6" s="11"/>
      <c r="K6" s="4">
        <v>18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4">
        <v>18</v>
      </c>
      <c r="B7" s="4">
        <v>6</v>
      </c>
      <c r="C7" s="8"/>
      <c r="D7" s="10"/>
      <c r="E7" s="4">
        <v>8</v>
      </c>
      <c r="F7" s="4">
        <v>1</v>
      </c>
      <c r="G7" s="8"/>
      <c r="H7" s="4" t="s">
        <v>8</v>
      </c>
      <c r="I7" s="8"/>
      <c r="J7" s="10"/>
      <c r="K7" s="4">
        <v>25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4">
        <v>25</v>
      </c>
      <c r="B8" s="4">
        <v>8</v>
      </c>
      <c r="C8" s="8"/>
      <c r="D8" s="7"/>
      <c r="E8" s="8"/>
      <c r="F8" s="8"/>
      <c r="G8" s="8"/>
      <c r="H8" s="7"/>
      <c r="I8" s="8"/>
      <c r="J8" s="8"/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7"/>
      <c r="B9" s="8"/>
      <c r="C9" s="8"/>
      <c r="D9" s="13" t="s">
        <v>9</v>
      </c>
      <c r="E9" s="4">
        <f t="array" ref="E9:K10">TRANSPOSE(E2:F8)</f>
        <v>4</v>
      </c>
      <c r="F9" s="4">
        <v>3</v>
      </c>
      <c r="G9" s="4">
        <v>7</v>
      </c>
      <c r="H9" s="4">
        <v>2</v>
      </c>
      <c r="I9" s="4">
        <v>6</v>
      </c>
      <c r="J9" s="4">
        <v>8</v>
      </c>
      <c r="K9" s="1">
        <v>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4" t="s">
        <v>10</v>
      </c>
      <c r="B10" s="4">
        <f>SLOPE(A3:A8,B3:B8)</f>
        <v>1.5</v>
      </c>
      <c r="C10" s="8"/>
      <c r="D10" s="10"/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1">
        <v>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4" t="s">
        <v>11</v>
      </c>
      <c r="B11" s="4">
        <f>INTERCEPT(A3:A8,B3:B8)</f>
        <v>10.5</v>
      </c>
      <c r="C11" s="8"/>
      <c r="D11" s="7"/>
      <c r="E11" s="8"/>
      <c r="F11" s="8"/>
      <c r="G11" s="8"/>
      <c r="H11" s="8"/>
      <c r="I11" s="8"/>
      <c r="J11" s="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/>
      <c r="B12" s="2"/>
      <c r="C12" s="8"/>
      <c r="D12" s="9" t="s">
        <v>12</v>
      </c>
      <c r="E12" s="4">
        <f t="array" ref="E12:F13">MMULT(E9:J10,E2:F7)</f>
        <v>178</v>
      </c>
      <c r="F12" s="4">
        <v>30</v>
      </c>
      <c r="G12" s="7"/>
      <c r="H12" s="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4" t="s">
        <v>13</v>
      </c>
      <c r="B13" s="4" t="s">
        <v>14</v>
      </c>
      <c r="C13" s="8"/>
      <c r="D13" s="10"/>
      <c r="E13" s="4">
        <v>30</v>
      </c>
      <c r="F13" s="4">
        <v>6</v>
      </c>
      <c r="G13" s="8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6"/>
      <c r="B14" s="4" t="s">
        <v>15</v>
      </c>
      <c r="C14" s="8"/>
      <c r="D14" s="7"/>
      <c r="E14" s="8"/>
      <c r="F14" s="8"/>
      <c r="G14" s="8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8"/>
      <c r="D15" s="9" t="s">
        <v>16</v>
      </c>
      <c r="E15" s="4">
        <f t="array" ref="E15:F16">MINVERSE(E12:F13)</f>
        <v>3.5714285714285698E-2</v>
      </c>
      <c r="F15" s="4">
        <v>-0.17857142857142846</v>
      </c>
      <c r="G15" s="2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4" t="s">
        <v>17</v>
      </c>
      <c r="B16" s="4">
        <f>B10*9 +B11</f>
        <v>24</v>
      </c>
      <c r="C16" s="8"/>
      <c r="D16" s="10"/>
      <c r="E16" s="4">
        <v>-0.17857142857142846</v>
      </c>
      <c r="F16" s="4">
        <v>1.0595238095238089</v>
      </c>
      <c r="G16" s="2"/>
      <c r="H16" s="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8"/>
      <c r="D17" s="7"/>
      <c r="E17" s="8"/>
      <c r="F17" s="8"/>
      <c r="G17" s="8"/>
      <c r="H17" s="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8"/>
      <c r="D18" s="9" t="s">
        <v>18</v>
      </c>
      <c r="E18" s="4">
        <f t="array" ref="E18:E19">MMULT(E9:J10,K2:K7)</f>
        <v>582</v>
      </c>
      <c r="F18" s="2"/>
      <c r="G18" s="2"/>
      <c r="H18" s="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8"/>
      <c r="D19" s="10"/>
      <c r="E19" s="4">
        <v>108</v>
      </c>
      <c r="F19" s="2"/>
      <c r="G19" s="2"/>
      <c r="H19" s="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8"/>
      <c r="D20" s="2"/>
      <c r="E20" s="2"/>
      <c r="F20" s="2"/>
      <c r="G20" s="2"/>
      <c r="H20" s="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8"/>
      <c r="D21" s="9" t="s">
        <v>19</v>
      </c>
      <c r="E21" s="9" t="s">
        <v>20</v>
      </c>
      <c r="F21" s="4">
        <f t="array" ref="F21:F22">MMULT(E15:F16,E18:E19)</f>
        <v>1.5000000000000036</v>
      </c>
      <c r="G21" s="2"/>
      <c r="H21" s="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8"/>
      <c r="D22" s="10"/>
      <c r="E22" s="10"/>
      <c r="F22" s="4">
        <v>10.5</v>
      </c>
      <c r="G22" s="2"/>
      <c r="H22" s="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8"/>
      <c r="D23" s="7"/>
      <c r="E23" s="8"/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8"/>
      <c r="D24" s="7"/>
      <c r="E24" s="8"/>
      <c r="F24" s="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8"/>
      <c r="D25" s="4" t="s">
        <v>21</v>
      </c>
      <c r="E25" s="4">
        <v>1.5</v>
      </c>
      <c r="F25" s="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8"/>
      <c r="D26" s="4" t="s">
        <v>22</v>
      </c>
      <c r="E26" s="4">
        <v>10.5</v>
      </c>
      <c r="F26" s="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4">
    <mergeCell ref="F23:F28"/>
    <mergeCell ref="D23:E23"/>
    <mergeCell ref="D24:E24"/>
    <mergeCell ref="D2:D7"/>
    <mergeCell ref="C1:C26"/>
    <mergeCell ref="D9:D10"/>
    <mergeCell ref="D11:J11"/>
    <mergeCell ref="D17:G17"/>
    <mergeCell ref="D12:D13"/>
    <mergeCell ref="D14:G14"/>
    <mergeCell ref="G12:G13"/>
    <mergeCell ref="H2:H3"/>
    <mergeCell ref="H12:H22"/>
    <mergeCell ref="D15:D16"/>
    <mergeCell ref="D18:D19"/>
    <mergeCell ref="D21:D22"/>
    <mergeCell ref="E21:E22"/>
    <mergeCell ref="G1:G8"/>
    <mergeCell ref="H4:H6"/>
    <mergeCell ref="I4:I7"/>
    <mergeCell ref="A9:B9"/>
    <mergeCell ref="D8:F8"/>
    <mergeCell ref="H8:K8"/>
    <mergeCell ref="J2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2025-10-21T12:42:26Z</dcterms:modified>
</cp:coreProperties>
</file>